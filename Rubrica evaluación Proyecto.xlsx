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rlos\Desktop\"/>
    </mc:Choice>
  </mc:AlternateContent>
  <xr:revisionPtr revIDLastSave="0" documentId="8_{2EAFBC23-7BEB-45BF-87DF-69AC25D99B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úbrica" sheetId="1" r:id="rId1"/>
    <sheet name="Hoja2" sheetId="3" state="hidden" r:id="rId2"/>
    <sheet name="Hoja1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30" i="1"/>
  <c r="K10" i="1"/>
  <c r="K11" i="1"/>
  <c r="K12" i="1"/>
  <c r="K13" i="1"/>
  <c r="K14" i="1"/>
  <c r="K15" i="1"/>
  <c r="K16" i="1"/>
  <c r="K17" i="1"/>
  <c r="K18" i="1"/>
  <c r="K19" i="1"/>
  <c r="K20" i="1"/>
  <c r="K21" i="1"/>
  <c r="J10" i="1"/>
  <c r="J11" i="1"/>
  <c r="J12" i="1"/>
  <c r="J13" i="1"/>
  <c r="J14" i="1"/>
  <c r="J15" i="1"/>
  <c r="J16" i="1"/>
  <c r="J17" i="1"/>
  <c r="J18" i="1"/>
  <c r="J19" i="1"/>
  <c r="J20" i="1"/>
  <c r="J21" i="1"/>
  <c r="J9" i="1"/>
  <c r="K9" i="1"/>
  <c r="K22" i="1" l="1"/>
  <c r="K23" i="1"/>
  <c r="L29" i="1"/>
  <c r="L28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22" i="1"/>
</calcChain>
</file>

<file path=xl/sharedStrings.xml><?xml version="1.0" encoding="utf-8"?>
<sst xmlns="http://schemas.openxmlformats.org/spreadsheetml/2006/main" count="102" uniqueCount="97">
  <si>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</si>
  <si>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</si>
  <si>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</si>
  <si>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</si>
  <si>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</si>
  <si>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</si>
  <si>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Destacado (7)</t>
  </si>
  <si>
    <t>Habilitado (5)</t>
  </si>
  <si>
    <t>En desarrollo (3)</t>
  </si>
  <si>
    <t>No logrado (1)</t>
  </si>
  <si>
    <t>Ponderación en %</t>
  </si>
  <si>
    <t>Puntaje Obtenido</t>
  </si>
  <si>
    <t>Logro Ponderado</t>
  </si>
  <si>
    <t>Logro Parcial</t>
  </si>
  <si>
    <t>4.1.6 Construye una presentación con la información relevante del proyecto, exponiendo sus principales resultados y conclusiones.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</si>
  <si>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</si>
  <si>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</si>
  <si>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Tema del proyecto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</si>
  <si>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</si>
  <si>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</si>
  <si>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</si>
  <si>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</si>
  <si>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</si>
  <si>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</si>
  <si>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</si>
  <si>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4.1.2 Diseña un proyecto, planteando los objetivos y la pregunta de investigación clave, que incorpore el uso del conocimiento matemático en contexto de especialidad.</t>
  </si>
  <si>
    <t xml:space="preserve">El proyecto se enfoca en un problema o preguntas, relacionado con la especialidad, con un desafío alcanzable. </t>
  </si>
  <si>
    <t>El proyecto se enfoca en un problema relacionado con la especialidad, sin embargo, no lo sustenta con información técnica de la especialidad o con algún experto del área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</si>
  <si>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</si>
  <si>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</si>
  <si>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</si>
  <si>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</si>
  <si>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</si>
  <si>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</si>
  <si>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</si>
  <si>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</si>
  <si>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buscan dar respuestas a algunas de las preguntas de investigación o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</si>
  <si>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</si>
  <si>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</si>
  <si>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</si>
  <si>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</si>
  <si>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</si>
  <si>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</si>
  <si>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</si>
  <si>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</si>
  <si>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4.1.3 Utiliza herramientas tecnológicas, optimizando los procesos involucrados en el ciclo ABPro.</t>
  </si>
  <si>
    <t>Indagación constante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</si>
  <si>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</si>
  <si>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</si>
  <si>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</si>
  <si>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</si>
  <si>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4.1.4 Integra suficiente información relevante para responder la pregunta clave, la información proviene de múltiples y variadas fuentes.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</si>
  <si>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</si>
  <si>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</si>
  <si>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</si>
  <si>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</si>
  <si>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</si>
  <si>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</si>
  <si>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</si>
  <si>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</si>
  <si>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</si>
  <si>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</si>
  <si>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4.1.5 Juzga la elección de los criterios utilizados para evaluar las ideas y/o soluciones a los problemas, considerando las retroalimentaciones para revisarlo y mejorarlo.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</si>
  <si>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</si>
  <si>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</si>
  <si>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</si>
  <si>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</si>
  <si>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</si>
  <si>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</si>
  <si>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Conclusiones y reflexiones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</si>
  <si>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</si>
  <si>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</si>
  <si>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</si>
  <si>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</si>
  <si>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</si>
  <si>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Ponderación Total</t>
  </si>
  <si>
    <t>LOGRO</t>
  </si>
  <si>
    <t>NOTA</t>
  </si>
  <si>
    <t>Puntaje</t>
  </si>
  <si>
    <t>Nota</t>
  </si>
  <si>
    <t>La(s) diapositiva(s) está organizada apropiadamente en función de los objetivos del trabajo y el planteamiento teórico que lo sustenta. Las conclusiones ofrecen un panorama y una valoración general adecuadamente planteada.</t>
  </si>
  <si>
    <t xml:space="preserve"> La(s) diapositiva(s)  no está organizada apropiadamente en función de los objetivos del trabajo o el planteamiento teórico que lo sustenta. Conclusiones en general no son claras, escuetas o poco asociadas al resto del trabajo.</t>
  </si>
  <si>
    <t xml:space="preserve">La(s) diapositiva(s) no está organizada en función de los objetivos del trabajo y el planteamiento teórico que lo sustenta.
No hay conclusiones claras, o, por el contrario, repiten lo señalado en los resultados. </t>
  </si>
  <si>
    <t xml:space="preserve">La(s) diapositivas no estan organizadas. No hay conclusiones. </t>
  </si>
  <si>
    <t>Cumple con todos los requerimientos con respecto a lo que debe ser incluido en la presentación respetando formato y orden.</t>
  </si>
  <si>
    <t>Cumple con la mayoría de los requerimientos con respecto a lo que debe ser incluido en la presentación respetando formato y orden.</t>
  </si>
  <si>
    <t>Cumple con algunos de los requerimientos con respecto a lo que debe ser incluido en la presentación respetando formato y orden.</t>
  </si>
  <si>
    <t>No cumple los requerimientos con respecto a lo que debe ser incluido en la presentación respetando formato y orden.</t>
  </si>
  <si>
    <t>Agrega nociones matemáticas declaradas en la tercera unidad u otras nociones matemáticas justificando su uso y está acorde con la problemática presentada.</t>
  </si>
  <si>
    <t>El tema seleccionado para el proyecto está totalmente relacionado con la especialidad y está relacionado con los temas matemáticos de la tercera unidad de Aplicación de la Derivada.</t>
  </si>
  <si>
    <t>El tema seleccionado está totalmente relacionado con la especialidad y con alguna noción matemática de aplicación de la derivada, pero presenta errores en el uso de la matemática.</t>
  </si>
  <si>
    <t>INTEGRANTES</t>
  </si>
  <si>
    <t>AUTOEVALUACIÓN</t>
  </si>
  <si>
    <t>COEVALUACIÓN</t>
  </si>
  <si>
    <t>RÚBRICA</t>
  </si>
  <si>
    <t>NOTA PROYECTO</t>
  </si>
  <si>
    <t>Definición del proyecto PROBLEMÁTICA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</si>
</sst>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Open Sans"/>
      <family val="2"/>
    </font>
    <font>
      <b/>
      <sz val="12"/>
      <color theme="1"/>
      <name val="Open Sans"/>
      <family val="2"/>
    </font>
    <font>
      <b/>
      <sz val="11"/>
      <color theme="0"/>
      <name val="Open Sans"/>
      <family val="2"/>
    </font>
    <font>
      <sz val="12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64" fontId="13" fillId="7" borderId="6" xfId="0" applyNumberFormat="1" applyFont="1" applyFill="1" applyBorder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19" fillId="8" borderId="6" xfId="0" applyFont="1" applyFill="1" applyBorder="1" applyAlignment="1">
      <alignment vertical="center" wrapText="1"/>
    </xf>
    <xf numFmtId="0" fontId="18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 vertical="center"/>
    </xf>
    <xf numFmtId="9" fontId="13" fillId="7" borderId="6" xfId="4" applyFont="1" applyFill="1" applyBorder="1" applyAlignment="1">
      <alignment horizontal="center" vertical="center"/>
    </xf>
    <xf numFmtId="164" fontId="4" fillId="0" borderId="6" xfId="4" applyNumberFormat="1" applyFont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23" fillId="0" borderId="6" xfId="0" applyFont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80" zoomScaleNormal="80" workbookViewId="0"/>
  </sheetViews>
  <sheetFormatPr baseColWidth="10" defaultColWidth="11.42578125" defaultRowHeight="15" x14ac:dyDescent="0.3"/>
  <cols>
    <col min="1" max="1" width="5.42578125" style="2" customWidth="1"/>
    <col min="2" max="2" width="22.42578125" style="2" customWidth="1"/>
    <col min="3" max="3" width="28.28515625" style="2" customWidth="1"/>
    <col min="4" max="7" width="26.28515625" style="2" customWidth="1"/>
    <col min="8" max="8" width="20.140625" style="2" customWidth="1"/>
    <col min="9" max="9" width="21.28515625" style="2" customWidth="1"/>
    <col min="10" max="10" width="17.140625" style="2" bestFit="1" customWidth="1"/>
    <col min="11" max="11" width="54.42578125" style="2" customWidth="1"/>
    <col min="12" max="12" width="20.28515625" style="2" customWidth="1"/>
    <col min="13" max="14" width="15.5703125" style="2" bestFit="1" customWidth="1"/>
    <col min="15" max="16384" width="11.42578125" style="2"/>
  </cols>
  <sheetData>
    <row r="1" spans="1:13" ht="78" customHeight="1" x14ac:dyDescent="0.3">
      <c r="B1" s="1"/>
      <c r="C1" s="48"/>
      <c r="D1" s="48"/>
      <c r="E1" s="48"/>
      <c r="F1" s="48"/>
      <c r="G1" s="48"/>
      <c r="H1" s="48"/>
      <c r="I1" s="48"/>
      <c r="J1" s="48"/>
      <c r="K1" s="48"/>
    </row>
    <row r="2" spans="1:13" x14ac:dyDescent="0.3">
      <c r="B2" s="1"/>
      <c r="C2" s="49" t="s">
        <v>0</v>
      </c>
      <c r="D2" s="49"/>
      <c r="E2" s="49"/>
      <c r="F2" s="15"/>
      <c r="G2" s="3"/>
      <c r="H2" s="50" t="s">
        <v>1</v>
      </c>
      <c r="I2" s="50"/>
      <c r="J2" s="50"/>
      <c r="K2" s="4">
        <v>13</v>
      </c>
    </row>
    <row r="3" spans="1:13" x14ac:dyDescent="0.3">
      <c r="B3" s="1"/>
      <c r="C3" s="49" t="s">
        <v>2</v>
      </c>
      <c r="D3" s="49"/>
      <c r="E3" s="49"/>
      <c r="F3" s="15"/>
      <c r="G3" s="3"/>
      <c r="H3" s="3"/>
      <c r="I3" s="3"/>
      <c r="J3" s="3"/>
      <c r="K3" s="3"/>
    </row>
    <row r="4" spans="1:13" x14ac:dyDescent="0.3">
      <c r="B4" s="1"/>
      <c r="C4" s="49" t="s">
        <v>3</v>
      </c>
      <c r="D4" s="49"/>
      <c r="E4" s="49"/>
      <c r="F4" s="15"/>
      <c r="G4" s="3"/>
      <c r="H4" s="3"/>
      <c r="I4" s="3"/>
      <c r="J4" s="3"/>
      <c r="K4" s="3"/>
    </row>
    <row r="5" spans="1:13" ht="15.75" thickBot="1" x14ac:dyDescent="0.35">
      <c r="B5" s="1"/>
      <c r="C5" s="51"/>
      <c r="D5" s="51"/>
      <c r="E5" s="51"/>
      <c r="F5" s="4"/>
      <c r="G5" s="3"/>
      <c r="H5" s="3"/>
      <c r="I5" s="3"/>
      <c r="J5" s="3"/>
      <c r="K5" s="3"/>
    </row>
    <row r="6" spans="1:13" ht="33" customHeight="1" thickBot="1" x14ac:dyDescent="0.35">
      <c r="B6" s="1"/>
      <c r="C6" s="45"/>
      <c r="D6" s="46"/>
      <c r="E6" s="46"/>
      <c r="F6" s="46"/>
      <c r="G6" s="46"/>
      <c r="H6" s="46"/>
      <c r="I6" s="46"/>
      <c r="J6" s="46"/>
      <c r="K6" s="47"/>
    </row>
    <row r="7" spans="1:13" x14ac:dyDescent="0.3">
      <c r="B7" s="5"/>
      <c r="C7" s="6"/>
      <c r="D7" s="7"/>
      <c r="E7" s="8"/>
      <c r="F7" s="8"/>
      <c r="G7" s="8"/>
      <c r="H7" s="8"/>
      <c r="I7" s="8"/>
      <c r="J7" s="8"/>
      <c r="K7" s="5"/>
    </row>
    <row r="8" spans="1:13" ht="30" x14ac:dyDescent="0.3">
      <c r="B8" s="22" t="s">
        <v>4</v>
      </c>
      <c r="C8" s="26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  <c r="I8" s="24" t="s">
        <v>11</v>
      </c>
      <c r="J8" s="9" t="s">
        <v>12</v>
      </c>
      <c r="K8" s="10" t="s">
        <v>13</v>
      </c>
    </row>
    <row r="9" spans="1:13" ht="84" customHeight="1" x14ac:dyDescent="0.3">
      <c r="A9" s="2">
        <v>1</v>
      </c>
      <c r="B9" s="23" t="s">
        <v>16</v>
      </c>
      <c r="C9" s="30" t="s">
        <v>17</v>
      </c>
      <c r="D9" s="31" t="s">
        <v>89</v>
      </c>
      <c r="E9" s="31" t="s">
        <v>90</v>
      </c>
      <c r="F9" s="32" t="s">
        <v>18</v>
      </c>
      <c r="G9" s="32" t="s">
        <v>19</v>
      </c>
      <c r="H9" s="29">
        <v>12</v>
      </c>
      <c r="I9" s="19"/>
      <c r="J9" s="20">
        <f>H9*I9/7/100</f>
        <v>0</v>
      </c>
      <c r="K9" s="38">
        <f>I9*H9/100</f>
        <v>0</v>
      </c>
      <c r="M9" s="12">
        <v>5</v>
      </c>
    </row>
    <row r="10" spans="1:13" ht="93" customHeight="1" x14ac:dyDescent="0.3">
      <c r="A10" s="12">
        <v>2</v>
      </c>
      <c r="B10" s="23" t="s">
        <v>15</v>
      </c>
      <c r="C10" s="30" t="s">
        <v>20</v>
      </c>
      <c r="D10" s="31" t="s">
        <v>21</v>
      </c>
      <c r="E10" s="31" t="s">
        <v>22</v>
      </c>
      <c r="F10" s="31" t="s">
        <v>23</v>
      </c>
      <c r="G10" s="28" t="s">
        <v>24</v>
      </c>
      <c r="H10" s="29">
        <v>8</v>
      </c>
      <c r="I10" s="19"/>
      <c r="J10" s="20">
        <f t="shared" ref="J10:J21" si="0">H10*I10/7/100</f>
        <v>0</v>
      </c>
      <c r="K10" s="38">
        <f t="shared" ref="K10:K21" si="1">I10*H10/100</f>
        <v>0</v>
      </c>
      <c r="M10" s="2">
        <v>3</v>
      </c>
    </row>
    <row r="11" spans="1:13" ht="84.75" customHeight="1" x14ac:dyDescent="0.3">
      <c r="A11" s="12">
        <v>3</v>
      </c>
      <c r="B11" s="23" t="s">
        <v>25</v>
      </c>
      <c r="C11" s="30" t="s">
        <v>96</v>
      </c>
      <c r="D11" s="31" t="s">
        <v>26</v>
      </c>
      <c r="E11" s="31" t="s">
        <v>27</v>
      </c>
      <c r="F11" s="31" t="s">
        <v>28</v>
      </c>
      <c r="G11" s="28" t="s">
        <v>29</v>
      </c>
      <c r="H11" s="29">
        <v>8</v>
      </c>
      <c r="I11" s="19"/>
      <c r="J11" s="20">
        <f t="shared" si="0"/>
        <v>0</v>
      </c>
      <c r="K11" s="38">
        <f t="shared" si="1"/>
        <v>0</v>
      </c>
      <c r="M11" s="2">
        <v>1</v>
      </c>
    </row>
    <row r="12" spans="1:13" ht="87" customHeight="1" x14ac:dyDescent="0.3">
      <c r="A12" s="12">
        <v>4</v>
      </c>
      <c r="B12" s="23" t="s">
        <v>25</v>
      </c>
      <c r="C12" s="30" t="s">
        <v>30</v>
      </c>
      <c r="D12" s="31" t="s">
        <v>88</v>
      </c>
      <c r="E12" s="31" t="s">
        <v>31</v>
      </c>
      <c r="F12" s="31" t="s">
        <v>32</v>
      </c>
      <c r="G12" s="31" t="s">
        <v>33</v>
      </c>
      <c r="H12" s="29">
        <v>12</v>
      </c>
      <c r="I12" s="19"/>
      <c r="J12" s="20">
        <f t="shared" si="0"/>
        <v>0</v>
      </c>
      <c r="K12" s="38">
        <f t="shared" si="1"/>
        <v>0</v>
      </c>
    </row>
    <row r="13" spans="1:13" ht="82.5" customHeight="1" x14ac:dyDescent="0.3">
      <c r="A13" s="12">
        <v>5</v>
      </c>
      <c r="B13" s="23" t="s">
        <v>25</v>
      </c>
      <c r="C13" s="33" t="s">
        <v>34</v>
      </c>
      <c r="D13" s="31" t="s">
        <v>35</v>
      </c>
      <c r="E13" s="31" t="s">
        <v>36</v>
      </c>
      <c r="F13" s="31" t="s">
        <v>37</v>
      </c>
      <c r="G13" s="28" t="s">
        <v>38</v>
      </c>
      <c r="H13" s="29">
        <v>8</v>
      </c>
      <c r="I13" s="19"/>
      <c r="J13" s="20">
        <f t="shared" si="0"/>
        <v>0</v>
      </c>
      <c r="K13" s="38">
        <f t="shared" si="1"/>
        <v>0</v>
      </c>
    </row>
    <row r="14" spans="1:13" ht="41.25" customHeight="1" x14ac:dyDescent="0.3">
      <c r="A14" s="12">
        <v>6</v>
      </c>
      <c r="B14" s="23" t="s">
        <v>39</v>
      </c>
      <c r="C14" s="33" t="s">
        <v>40</v>
      </c>
      <c r="D14" s="31" t="s">
        <v>41</v>
      </c>
      <c r="E14" s="31" t="s">
        <v>42</v>
      </c>
      <c r="F14" s="31" t="s">
        <v>43</v>
      </c>
      <c r="G14" s="31" t="s">
        <v>44</v>
      </c>
      <c r="H14" s="29">
        <v>8</v>
      </c>
      <c r="I14" s="19"/>
      <c r="J14" s="20">
        <f t="shared" si="0"/>
        <v>0</v>
      </c>
      <c r="K14" s="38">
        <f t="shared" si="1"/>
        <v>0</v>
      </c>
    </row>
    <row r="15" spans="1:13" ht="82.5" customHeight="1" x14ac:dyDescent="0.3">
      <c r="A15" s="12">
        <v>7</v>
      </c>
      <c r="B15" s="23" t="s">
        <v>45</v>
      </c>
      <c r="C15" s="30" t="s">
        <v>46</v>
      </c>
      <c r="D15" s="31" t="s">
        <v>47</v>
      </c>
      <c r="E15" s="31" t="s">
        <v>48</v>
      </c>
      <c r="F15" s="31" t="s">
        <v>49</v>
      </c>
      <c r="G15" s="31" t="s">
        <v>50</v>
      </c>
      <c r="H15" s="29">
        <v>12</v>
      </c>
      <c r="I15" s="19"/>
      <c r="J15" s="20">
        <f t="shared" si="0"/>
        <v>0</v>
      </c>
      <c r="K15" s="38">
        <f t="shared" si="1"/>
        <v>0</v>
      </c>
    </row>
    <row r="16" spans="1:13" ht="96.75" customHeight="1" x14ac:dyDescent="0.3">
      <c r="A16" s="12">
        <v>8</v>
      </c>
      <c r="B16" s="23" t="s">
        <v>51</v>
      </c>
      <c r="C16" s="30" t="s">
        <v>52</v>
      </c>
      <c r="D16" s="31" t="s">
        <v>53</v>
      </c>
      <c r="E16" s="31" t="s">
        <v>54</v>
      </c>
      <c r="F16" s="31" t="s">
        <v>55</v>
      </c>
      <c r="G16" s="31" t="s">
        <v>56</v>
      </c>
      <c r="H16" s="29">
        <v>4</v>
      </c>
      <c r="I16" s="19"/>
      <c r="J16" s="20">
        <f t="shared" si="0"/>
        <v>0</v>
      </c>
      <c r="K16" s="38">
        <f t="shared" si="1"/>
        <v>0</v>
      </c>
    </row>
    <row r="17" spans="1:12" ht="84" customHeight="1" x14ac:dyDescent="0.3">
      <c r="A17" s="12">
        <v>9</v>
      </c>
      <c r="B17" s="23" t="s">
        <v>51</v>
      </c>
      <c r="C17" s="30" t="s">
        <v>57</v>
      </c>
      <c r="D17" s="31" t="s">
        <v>58</v>
      </c>
      <c r="E17" s="31" t="s">
        <v>59</v>
      </c>
      <c r="F17" s="31" t="s">
        <v>60</v>
      </c>
      <c r="G17" s="32" t="s">
        <v>61</v>
      </c>
      <c r="H17" s="29">
        <v>3</v>
      </c>
      <c r="I17" s="19"/>
      <c r="J17" s="20">
        <f t="shared" si="0"/>
        <v>0</v>
      </c>
      <c r="K17" s="38">
        <f t="shared" si="1"/>
        <v>0</v>
      </c>
    </row>
    <row r="18" spans="1:12" ht="87.75" customHeight="1" x14ac:dyDescent="0.3">
      <c r="A18" s="12">
        <v>10</v>
      </c>
      <c r="B18" s="23" t="s">
        <v>62</v>
      </c>
      <c r="C18" s="17" t="s">
        <v>63</v>
      </c>
      <c r="D18" s="18" t="s">
        <v>64</v>
      </c>
      <c r="E18" s="16" t="s">
        <v>65</v>
      </c>
      <c r="F18" s="16" t="s">
        <v>66</v>
      </c>
      <c r="G18" s="16" t="s">
        <v>67</v>
      </c>
      <c r="H18" s="11">
        <v>4</v>
      </c>
      <c r="I18" s="19"/>
      <c r="J18" s="20">
        <f t="shared" si="0"/>
        <v>0</v>
      </c>
      <c r="K18" s="38">
        <f t="shared" si="1"/>
        <v>0</v>
      </c>
    </row>
    <row r="19" spans="1:12" ht="138.75" customHeight="1" x14ac:dyDescent="0.3">
      <c r="A19" s="12">
        <v>11</v>
      </c>
      <c r="B19" s="23" t="s">
        <v>14</v>
      </c>
      <c r="C19" s="17" t="s">
        <v>68</v>
      </c>
      <c r="D19" s="16" t="s">
        <v>84</v>
      </c>
      <c r="E19" s="16" t="s">
        <v>85</v>
      </c>
      <c r="F19" s="16" t="s">
        <v>86</v>
      </c>
      <c r="G19" s="16" t="s">
        <v>87</v>
      </c>
      <c r="H19" s="11">
        <v>5</v>
      </c>
      <c r="I19" s="19"/>
      <c r="J19" s="20">
        <f t="shared" si="0"/>
        <v>0</v>
      </c>
      <c r="K19" s="38">
        <f t="shared" si="1"/>
        <v>0</v>
      </c>
    </row>
    <row r="20" spans="1:12" ht="150" customHeight="1" x14ac:dyDescent="0.3">
      <c r="A20" s="12">
        <v>12</v>
      </c>
      <c r="B20" s="23" t="s">
        <v>14</v>
      </c>
      <c r="C20" s="17" t="s">
        <v>69</v>
      </c>
      <c r="D20" s="16" t="s">
        <v>80</v>
      </c>
      <c r="E20" s="16" t="s">
        <v>81</v>
      </c>
      <c r="F20" s="16" t="s">
        <v>82</v>
      </c>
      <c r="G20" s="16" t="s">
        <v>83</v>
      </c>
      <c r="H20" s="11">
        <v>12</v>
      </c>
      <c r="I20" s="19"/>
      <c r="J20" s="20">
        <f t="shared" si="0"/>
        <v>0</v>
      </c>
      <c r="K20" s="38">
        <f t="shared" si="1"/>
        <v>0</v>
      </c>
    </row>
    <row r="21" spans="1:12" ht="85.5" customHeight="1" x14ac:dyDescent="0.3">
      <c r="A21" s="12">
        <v>13</v>
      </c>
      <c r="B21" s="23" t="s">
        <v>14</v>
      </c>
      <c r="C21" s="17" t="s">
        <v>70</v>
      </c>
      <c r="D21" s="16" t="s">
        <v>71</v>
      </c>
      <c r="E21" s="16" t="s">
        <v>72</v>
      </c>
      <c r="F21" s="16" t="s">
        <v>73</v>
      </c>
      <c r="G21" s="16" t="s">
        <v>74</v>
      </c>
      <c r="H21" s="11">
        <v>4</v>
      </c>
      <c r="I21" s="19"/>
      <c r="J21" s="20">
        <f t="shared" si="0"/>
        <v>0</v>
      </c>
      <c r="K21" s="38">
        <f t="shared" si="1"/>
        <v>0</v>
      </c>
    </row>
    <row r="22" spans="1:12" ht="39" customHeight="1" x14ac:dyDescent="0.3">
      <c r="D22" s="13"/>
      <c r="E22" s="13"/>
      <c r="F22" s="13"/>
      <c r="G22" s="14" t="s">
        <v>75</v>
      </c>
      <c r="H22" s="25">
        <f>SUM(H9:H21)</f>
        <v>100</v>
      </c>
      <c r="I22" s="43" t="s">
        <v>76</v>
      </c>
      <c r="J22" s="44"/>
      <c r="K22" s="37">
        <f>SUM(J9:J21)</f>
        <v>0</v>
      </c>
    </row>
    <row r="23" spans="1:12" ht="39.950000000000003" customHeight="1" x14ac:dyDescent="0.3">
      <c r="I23" s="43" t="s">
        <v>77</v>
      </c>
      <c r="J23" s="44"/>
      <c r="K23" s="21">
        <f>SUM(K9:K21)</f>
        <v>0</v>
      </c>
    </row>
    <row r="27" spans="1:12" ht="30" customHeight="1" x14ac:dyDescent="0.3">
      <c r="H27" s="34" t="s">
        <v>91</v>
      </c>
      <c r="I27" s="34" t="s">
        <v>92</v>
      </c>
      <c r="J27" s="34" t="s">
        <v>93</v>
      </c>
      <c r="K27" s="39" t="s">
        <v>94</v>
      </c>
      <c r="L27" s="39" t="s">
        <v>95</v>
      </c>
    </row>
    <row r="28" spans="1:12" ht="18" x14ac:dyDescent="0.3">
      <c r="H28" s="41"/>
      <c r="I28" s="42"/>
      <c r="J28" s="42"/>
      <c r="K28" s="40"/>
      <c r="L28" s="40" t="e">
        <f>AVERAGE(I28:J28)*0.1+K28*0.9</f>
        <v>#DIV/0!</v>
      </c>
    </row>
    <row r="29" spans="1:12" ht="18" x14ac:dyDescent="0.3">
      <c r="H29" s="41"/>
      <c r="I29" s="42"/>
      <c r="J29" s="42"/>
      <c r="K29" s="40"/>
      <c r="L29" s="40" t="e">
        <f t="shared" ref="L29:L31" si="2">AVERAGE(I29:J29)*0.1+K29*0.9</f>
        <v>#DIV/0!</v>
      </c>
    </row>
    <row r="30" spans="1:12" ht="18" x14ac:dyDescent="0.3">
      <c r="H30" s="41"/>
      <c r="I30" s="42"/>
      <c r="J30" s="42"/>
      <c r="K30" s="40"/>
      <c r="L30" s="40" t="e">
        <f t="shared" si="2"/>
        <v>#DIV/0!</v>
      </c>
    </row>
    <row r="31" spans="1:12" ht="18" x14ac:dyDescent="0.3">
      <c r="H31" s="41"/>
      <c r="I31" s="42"/>
      <c r="J31" s="42"/>
      <c r="K31" s="40"/>
      <c r="L31" s="40" t="e">
        <f t="shared" si="2"/>
        <v>#DIV/0!</v>
      </c>
    </row>
    <row r="33" spans="8:8" ht="18" x14ac:dyDescent="0.35">
      <c r="H33" s="35"/>
    </row>
  </sheetData>
  <mergeCells count="9">
    <mergeCell ref="I22:J22"/>
    <mergeCell ref="I23:J23"/>
    <mergeCell ref="C6:K6"/>
    <mergeCell ref="C1:K1"/>
    <mergeCell ref="C2:E2"/>
    <mergeCell ref="H2:J2"/>
    <mergeCell ref="C3:E3"/>
    <mergeCell ref="C4:E4"/>
    <mergeCell ref="C5:E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69459-E9B8-4840-B110-6C42CAFAAE3C}">
          <x14:formula1>
            <xm:f>Hoja2!$A$1:$A$4</xm:f>
          </x14:formula1>
          <xm:sqref>I9:I21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6840-2F1A-46C5-A6A2-566525BB8C30}">
  <dimension ref="A1:A4"/>
  <sheetViews>
    <sheetView workbookViewId="0">
      <selection activeCell="F8" sqref="F8"/>
    </sheetView>
  </sheetViews>
  <sheetFormatPr baseColWidth="10" defaultRowHeight="15" x14ac:dyDescent="0.25"/>
  <sheetData>
    <row r="1" spans="1:1" x14ac:dyDescent="0.25">
      <c r="A1" s="36">
        <v>7</v>
      </c>
    </row>
    <row r="2" spans="1:1" x14ac:dyDescent="0.25">
      <c r="A2" s="36">
        <v>5</v>
      </c>
    </row>
    <row r="3" spans="1:1" x14ac:dyDescent="0.25">
      <c r="A3" s="36">
        <v>3</v>
      </c>
    </row>
    <row r="4" spans="1:1" x14ac:dyDescent="0.25">
      <c r="A4" s="3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ColWidth="11.42578125" defaultRowHeight="15" x14ac:dyDescent="0.25"/>
  <cols>
    <col min="1" max="1" width="7.42578125" bestFit="1" customWidth="1"/>
    <col min="2" max="2" width="5.28515625" bestFit="1" customWidth="1"/>
  </cols>
  <sheetData>
    <row r="1" spans="1:2" x14ac:dyDescent="0.25">
      <c r="A1" t="s">
        <v>78</v>
      </c>
      <c r="B1" t="s">
        <v>79</v>
      </c>
    </row>
    <row r="2" spans="1:2" x14ac:dyDescent="0.25">
      <c r="A2">
        <v>0</v>
      </c>
      <c r="B2">
        <f t="shared" ref="B2:B65" si="0">ROUND(TRUNC(IF(A2&lt;50,3*A2/50+1,3*(A2-50)/50+4),2),1)</f>
        <v>1</v>
      </c>
    </row>
    <row r="3" spans="1:2" x14ac:dyDescent="0.25">
      <c r="A3">
        <v>1</v>
      </c>
      <c r="B3">
        <f t="shared" si="0"/>
        <v>1.1000000000000001</v>
      </c>
    </row>
    <row r="4" spans="1:2" x14ac:dyDescent="0.25">
      <c r="A4">
        <v>2</v>
      </c>
      <c r="B4">
        <f t="shared" si="0"/>
        <v>1.1000000000000001</v>
      </c>
    </row>
    <row r="5" spans="1:2" x14ac:dyDescent="0.25">
      <c r="A5">
        <v>3</v>
      </c>
      <c r="B5">
        <f t="shared" si="0"/>
        <v>1.2</v>
      </c>
    </row>
    <row r="6" spans="1:2" x14ac:dyDescent="0.25">
      <c r="A6">
        <v>4</v>
      </c>
      <c r="B6">
        <f t="shared" si="0"/>
        <v>1.2</v>
      </c>
    </row>
    <row r="7" spans="1:2" x14ac:dyDescent="0.25">
      <c r="A7">
        <v>5</v>
      </c>
      <c r="B7">
        <f t="shared" si="0"/>
        <v>1.3</v>
      </c>
    </row>
    <row r="8" spans="1:2" x14ac:dyDescent="0.25">
      <c r="A8">
        <v>6</v>
      </c>
      <c r="B8">
        <f t="shared" si="0"/>
        <v>1.4</v>
      </c>
    </row>
    <row r="9" spans="1:2" x14ac:dyDescent="0.25">
      <c r="A9">
        <v>7</v>
      </c>
      <c r="B9">
        <f t="shared" si="0"/>
        <v>1.4</v>
      </c>
    </row>
    <row r="10" spans="1:2" x14ac:dyDescent="0.25">
      <c r="A10">
        <v>8</v>
      </c>
      <c r="B10">
        <f t="shared" si="0"/>
        <v>1.5</v>
      </c>
    </row>
    <row r="11" spans="1:2" x14ac:dyDescent="0.25">
      <c r="A11">
        <v>9</v>
      </c>
      <c r="B11">
        <f t="shared" si="0"/>
        <v>1.5</v>
      </c>
    </row>
    <row r="12" spans="1:2" x14ac:dyDescent="0.25">
      <c r="A12">
        <v>10</v>
      </c>
      <c r="B12">
        <f t="shared" si="0"/>
        <v>1.6</v>
      </c>
    </row>
    <row r="13" spans="1:2" x14ac:dyDescent="0.25">
      <c r="A13">
        <v>11</v>
      </c>
      <c r="B13">
        <f t="shared" si="0"/>
        <v>1.7</v>
      </c>
    </row>
    <row r="14" spans="1:2" x14ac:dyDescent="0.25">
      <c r="A14">
        <v>12</v>
      </c>
      <c r="B14">
        <f t="shared" si="0"/>
        <v>1.7</v>
      </c>
    </row>
    <row r="15" spans="1:2" x14ac:dyDescent="0.25">
      <c r="A15">
        <v>13</v>
      </c>
      <c r="B15">
        <f t="shared" si="0"/>
        <v>1.8</v>
      </c>
    </row>
    <row r="16" spans="1:2" x14ac:dyDescent="0.25">
      <c r="A16">
        <v>14</v>
      </c>
      <c r="B16">
        <f t="shared" si="0"/>
        <v>1.8</v>
      </c>
    </row>
    <row r="17" spans="1:2" x14ac:dyDescent="0.25">
      <c r="A17">
        <v>15</v>
      </c>
      <c r="B17">
        <f t="shared" si="0"/>
        <v>1.9</v>
      </c>
    </row>
    <row r="18" spans="1:2" x14ac:dyDescent="0.25">
      <c r="A18">
        <v>16</v>
      </c>
      <c r="B18">
        <f t="shared" si="0"/>
        <v>2</v>
      </c>
    </row>
    <row r="19" spans="1:2" x14ac:dyDescent="0.25">
      <c r="A19">
        <v>17</v>
      </c>
      <c r="B19">
        <f t="shared" si="0"/>
        <v>2</v>
      </c>
    </row>
    <row r="20" spans="1:2" x14ac:dyDescent="0.25">
      <c r="A20">
        <v>18</v>
      </c>
      <c r="B20">
        <f t="shared" si="0"/>
        <v>2.1</v>
      </c>
    </row>
    <row r="21" spans="1:2" x14ac:dyDescent="0.25">
      <c r="A21">
        <v>19</v>
      </c>
      <c r="B21">
        <f t="shared" si="0"/>
        <v>2.1</v>
      </c>
    </row>
    <row r="22" spans="1:2" x14ac:dyDescent="0.25">
      <c r="A22">
        <v>20</v>
      </c>
      <c r="B22">
        <f t="shared" si="0"/>
        <v>2.2000000000000002</v>
      </c>
    </row>
    <row r="23" spans="1:2" x14ac:dyDescent="0.25">
      <c r="A23">
        <v>21</v>
      </c>
      <c r="B23">
        <f t="shared" si="0"/>
        <v>2.2999999999999998</v>
      </c>
    </row>
    <row r="24" spans="1:2" x14ac:dyDescent="0.25">
      <c r="A24">
        <v>22</v>
      </c>
      <c r="B24">
        <f t="shared" si="0"/>
        <v>2.2999999999999998</v>
      </c>
    </row>
    <row r="25" spans="1:2" x14ac:dyDescent="0.25">
      <c r="A25">
        <v>23</v>
      </c>
      <c r="B25">
        <f t="shared" si="0"/>
        <v>2.4</v>
      </c>
    </row>
    <row r="26" spans="1:2" x14ac:dyDescent="0.25">
      <c r="A26">
        <v>24</v>
      </c>
      <c r="B26">
        <f t="shared" si="0"/>
        <v>2.4</v>
      </c>
    </row>
    <row r="27" spans="1:2" x14ac:dyDescent="0.25">
      <c r="A27">
        <v>25</v>
      </c>
      <c r="B27">
        <f t="shared" si="0"/>
        <v>2.5</v>
      </c>
    </row>
    <row r="28" spans="1:2" x14ac:dyDescent="0.25">
      <c r="A28">
        <v>26</v>
      </c>
      <c r="B28">
        <f t="shared" si="0"/>
        <v>2.6</v>
      </c>
    </row>
    <row r="29" spans="1:2" x14ac:dyDescent="0.25">
      <c r="A29">
        <v>27</v>
      </c>
      <c r="B29">
        <f t="shared" si="0"/>
        <v>2.6</v>
      </c>
    </row>
    <row r="30" spans="1:2" x14ac:dyDescent="0.25">
      <c r="A30">
        <v>28</v>
      </c>
      <c r="B30">
        <f t="shared" si="0"/>
        <v>2.7</v>
      </c>
    </row>
    <row r="31" spans="1:2" x14ac:dyDescent="0.25">
      <c r="A31">
        <v>29</v>
      </c>
      <c r="B31">
        <f t="shared" si="0"/>
        <v>2.7</v>
      </c>
    </row>
    <row r="32" spans="1:2" x14ac:dyDescent="0.25">
      <c r="A32">
        <v>30</v>
      </c>
      <c r="B32">
        <f t="shared" si="0"/>
        <v>2.8</v>
      </c>
    </row>
    <row r="33" spans="1:2" x14ac:dyDescent="0.25">
      <c r="A33">
        <v>31</v>
      </c>
      <c r="B33">
        <f t="shared" si="0"/>
        <v>2.9</v>
      </c>
    </row>
    <row r="34" spans="1:2" x14ac:dyDescent="0.25">
      <c r="A34">
        <v>32</v>
      </c>
      <c r="B34">
        <f t="shared" si="0"/>
        <v>2.9</v>
      </c>
    </row>
    <row r="35" spans="1:2" x14ac:dyDescent="0.25">
      <c r="A35">
        <v>33</v>
      </c>
      <c r="B35">
        <f t="shared" si="0"/>
        <v>3</v>
      </c>
    </row>
    <row r="36" spans="1:2" x14ac:dyDescent="0.25">
      <c r="A36">
        <v>34</v>
      </c>
      <c r="B36">
        <f t="shared" si="0"/>
        <v>3</v>
      </c>
    </row>
    <row r="37" spans="1:2" x14ac:dyDescent="0.25">
      <c r="A37">
        <v>35</v>
      </c>
      <c r="B37">
        <f t="shared" si="0"/>
        <v>3.1</v>
      </c>
    </row>
    <row r="38" spans="1:2" x14ac:dyDescent="0.25">
      <c r="A38">
        <v>36</v>
      </c>
      <c r="B38">
        <f t="shared" si="0"/>
        <v>3.2</v>
      </c>
    </row>
    <row r="39" spans="1:2" x14ac:dyDescent="0.25">
      <c r="A39">
        <v>37</v>
      </c>
      <c r="B39">
        <f t="shared" si="0"/>
        <v>3.2</v>
      </c>
    </row>
    <row r="40" spans="1:2" x14ac:dyDescent="0.25">
      <c r="A40">
        <v>38</v>
      </c>
      <c r="B40">
        <f t="shared" si="0"/>
        <v>3.3</v>
      </c>
    </row>
    <row r="41" spans="1:2" x14ac:dyDescent="0.25">
      <c r="A41">
        <v>39</v>
      </c>
      <c r="B41">
        <f t="shared" si="0"/>
        <v>3.3</v>
      </c>
    </row>
    <row r="42" spans="1:2" x14ac:dyDescent="0.25">
      <c r="A42">
        <v>40</v>
      </c>
      <c r="B42">
        <f t="shared" si="0"/>
        <v>3.4</v>
      </c>
    </row>
    <row r="43" spans="1:2" x14ac:dyDescent="0.25">
      <c r="A43">
        <v>41</v>
      </c>
      <c r="B43">
        <f t="shared" si="0"/>
        <v>3.5</v>
      </c>
    </row>
    <row r="44" spans="1:2" x14ac:dyDescent="0.25">
      <c r="A44">
        <v>42</v>
      </c>
      <c r="B44">
        <f t="shared" si="0"/>
        <v>3.5</v>
      </c>
    </row>
    <row r="45" spans="1:2" x14ac:dyDescent="0.25">
      <c r="A45">
        <v>43</v>
      </c>
      <c r="B45">
        <f t="shared" si="0"/>
        <v>3.6</v>
      </c>
    </row>
    <row r="46" spans="1:2" x14ac:dyDescent="0.25">
      <c r="A46">
        <v>44</v>
      </c>
      <c r="B46">
        <f t="shared" si="0"/>
        <v>3.6</v>
      </c>
    </row>
    <row r="47" spans="1:2" x14ac:dyDescent="0.25">
      <c r="A47">
        <v>45</v>
      </c>
      <c r="B47">
        <f t="shared" si="0"/>
        <v>3.7</v>
      </c>
    </row>
    <row r="48" spans="1:2" x14ac:dyDescent="0.25">
      <c r="A48">
        <v>46</v>
      </c>
      <c r="B48">
        <f t="shared" si="0"/>
        <v>3.8</v>
      </c>
    </row>
    <row r="49" spans="1:2" x14ac:dyDescent="0.25">
      <c r="A49">
        <v>47</v>
      </c>
      <c r="B49">
        <f t="shared" si="0"/>
        <v>3.8</v>
      </c>
    </row>
    <row r="50" spans="1:2" x14ac:dyDescent="0.25">
      <c r="A50">
        <v>48</v>
      </c>
      <c r="B50">
        <f t="shared" si="0"/>
        <v>3.9</v>
      </c>
    </row>
    <row r="51" spans="1:2" x14ac:dyDescent="0.25">
      <c r="A51">
        <v>49</v>
      </c>
      <c r="B51">
        <f t="shared" si="0"/>
        <v>3.9</v>
      </c>
    </row>
    <row r="52" spans="1:2" x14ac:dyDescent="0.25">
      <c r="A52">
        <v>50</v>
      </c>
      <c r="B52">
        <f t="shared" si="0"/>
        <v>4</v>
      </c>
    </row>
    <row r="53" spans="1:2" x14ac:dyDescent="0.25">
      <c r="A53">
        <v>51</v>
      </c>
      <c r="B53">
        <f t="shared" si="0"/>
        <v>4.0999999999999996</v>
      </c>
    </row>
    <row r="54" spans="1:2" x14ac:dyDescent="0.25">
      <c r="A54">
        <v>52</v>
      </c>
      <c r="B54">
        <f t="shared" si="0"/>
        <v>4.0999999999999996</v>
      </c>
    </row>
    <row r="55" spans="1:2" x14ac:dyDescent="0.25">
      <c r="A55">
        <v>53</v>
      </c>
      <c r="B55">
        <f t="shared" si="0"/>
        <v>4.2</v>
      </c>
    </row>
    <row r="56" spans="1:2" x14ac:dyDescent="0.25">
      <c r="A56">
        <v>54</v>
      </c>
      <c r="B56">
        <f t="shared" si="0"/>
        <v>4.2</v>
      </c>
    </row>
    <row r="57" spans="1:2" x14ac:dyDescent="0.25">
      <c r="A57">
        <v>55</v>
      </c>
      <c r="B57">
        <f t="shared" si="0"/>
        <v>4.3</v>
      </c>
    </row>
    <row r="58" spans="1:2" x14ac:dyDescent="0.25">
      <c r="A58">
        <v>56</v>
      </c>
      <c r="B58">
        <f t="shared" si="0"/>
        <v>4.4000000000000004</v>
      </c>
    </row>
    <row r="59" spans="1:2" x14ac:dyDescent="0.25">
      <c r="A59">
        <v>57</v>
      </c>
      <c r="B59">
        <f t="shared" si="0"/>
        <v>4.4000000000000004</v>
      </c>
    </row>
    <row r="60" spans="1:2" x14ac:dyDescent="0.25">
      <c r="A60">
        <v>58</v>
      </c>
      <c r="B60">
        <f t="shared" si="0"/>
        <v>4.5</v>
      </c>
    </row>
    <row r="61" spans="1:2" x14ac:dyDescent="0.25">
      <c r="A61">
        <v>59</v>
      </c>
      <c r="B61">
        <f t="shared" si="0"/>
        <v>4.5</v>
      </c>
    </row>
    <row r="62" spans="1:2" x14ac:dyDescent="0.25">
      <c r="A62">
        <v>60</v>
      </c>
      <c r="B62">
        <f t="shared" si="0"/>
        <v>4.5999999999999996</v>
      </c>
    </row>
    <row r="63" spans="1:2" x14ac:dyDescent="0.25">
      <c r="A63">
        <v>61</v>
      </c>
      <c r="B63">
        <f t="shared" si="0"/>
        <v>4.7</v>
      </c>
    </row>
    <row r="64" spans="1:2" x14ac:dyDescent="0.25">
      <c r="A64">
        <v>62</v>
      </c>
      <c r="B64">
        <f t="shared" si="0"/>
        <v>4.7</v>
      </c>
    </row>
    <row r="65" spans="1:2" x14ac:dyDescent="0.25">
      <c r="A65">
        <v>63</v>
      </c>
      <c r="B65">
        <f t="shared" si="0"/>
        <v>4.8</v>
      </c>
    </row>
    <row r="66" spans="1:2" x14ac:dyDescent="0.25">
      <c r="A66">
        <v>64</v>
      </c>
      <c r="B66">
        <f t="shared" ref="B66:B102" si="1">ROUND(TRUNC(IF(A66&lt;50,3*A66/50+1,3*(A66-50)/50+4),2),1)</f>
        <v>4.8</v>
      </c>
    </row>
    <row r="67" spans="1:2" x14ac:dyDescent="0.25">
      <c r="A67">
        <v>65</v>
      </c>
      <c r="B67">
        <f t="shared" si="1"/>
        <v>4.9000000000000004</v>
      </c>
    </row>
    <row r="68" spans="1:2" x14ac:dyDescent="0.25">
      <c r="A68">
        <v>66</v>
      </c>
      <c r="B68">
        <f t="shared" si="1"/>
        <v>5</v>
      </c>
    </row>
    <row r="69" spans="1:2" x14ac:dyDescent="0.25">
      <c r="A69">
        <v>67</v>
      </c>
      <c r="B69">
        <f t="shared" si="1"/>
        <v>5</v>
      </c>
    </row>
    <row r="70" spans="1:2" x14ac:dyDescent="0.25">
      <c r="A70">
        <v>68</v>
      </c>
      <c r="B70">
        <f t="shared" si="1"/>
        <v>5.0999999999999996</v>
      </c>
    </row>
    <row r="71" spans="1:2" x14ac:dyDescent="0.25">
      <c r="A71">
        <v>69</v>
      </c>
      <c r="B71">
        <f t="shared" si="1"/>
        <v>5.0999999999999996</v>
      </c>
    </row>
    <row r="72" spans="1:2" x14ac:dyDescent="0.25">
      <c r="A72">
        <v>70</v>
      </c>
      <c r="B72">
        <f t="shared" si="1"/>
        <v>5.2</v>
      </c>
    </row>
    <row r="73" spans="1:2" x14ac:dyDescent="0.25">
      <c r="A73">
        <v>71</v>
      </c>
      <c r="B73">
        <f t="shared" si="1"/>
        <v>5.3</v>
      </c>
    </row>
    <row r="74" spans="1:2" x14ac:dyDescent="0.25">
      <c r="A74">
        <v>72</v>
      </c>
      <c r="B74">
        <f t="shared" si="1"/>
        <v>5.3</v>
      </c>
    </row>
    <row r="75" spans="1:2" x14ac:dyDescent="0.25">
      <c r="A75">
        <v>73</v>
      </c>
      <c r="B75">
        <f t="shared" si="1"/>
        <v>5.4</v>
      </c>
    </row>
    <row r="76" spans="1:2" x14ac:dyDescent="0.25">
      <c r="A76">
        <v>74</v>
      </c>
      <c r="B76">
        <f t="shared" si="1"/>
        <v>5.4</v>
      </c>
    </row>
    <row r="77" spans="1:2" x14ac:dyDescent="0.25">
      <c r="A77">
        <v>75</v>
      </c>
      <c r="B77">
        <f t="shared" si="1"/>
        <v>5.5</v>
      </c>
    </row>
    <row r="78" spans="1:2" x14ac:dyDescent="0.25">
      <c r="A78">
        <v>76</v>
      </c>
      <c r="B78">
        <f t="shared" si="1"/>
        <v>5.6</v>
      </c>
    </row>
    <row r="79" spans="1:2" x14ac:dyDescent="0.25">
      <c r="A79">
        <v>77</v>
      </c>
      <c r="B79">
        <f t="shared" si="1"/>
        <v>5.6</v>
      </c>
    </row>
    <row r="80" spans="1:2" x14ac:dyDescent="0.25">
      <c r="A80">
        <v>78</v>
      </c>
      <c r="B80">
        <f t="shared" si="1"/>
        <v>5.7</v>
      </c>
    </row>
    <row r="81" spans="1:2" x14ac:dyDescent="0.25">
      <c r="A81">
        <v>79</v>
      </c>
      <c r="B81">
        <f t="shared" si="1"/>
        <v>5.7</v>
      </c>
    </row>
    <row r="82" spans="1:2" x14ac:dyDescent="0.25">
      <c r="A82">
        <v>80</v>
      </c>
      <c r="B82">
        <f t="shared" si="1"/>
        <v>5.8</v>
      </c>
    </row>
    <row r="83" spans="1:2" x14ac:dyDescent="0.25">
      <c r="A83">
        <v>81</v>
      </c>
      <c r="B83">
        <f t="shared" si="1"/>
        <v>5.9</v>
      </c>
    </row>
    <row r="84" spans="1:2" x14ac:dyDescent="0.25">
      <c r="A84">
        <v>82</v>
      </c>
      <c r="B84">
        <f t="shared" si="1"/>
        <v>5.9</v>
      </c>
    </row>
    <row r="85" spans="1:2" x14ac:dyDescent="0.25">
      <c r="A85">
        <v>83</v>
      </c>
      <c r="B85">
        <f t="shared" si="1"/>
        <v>6</v>
      </c>
    </row>
    <row r="86" spans="1:2" x14ac:dyDescent="0.25">
      <c r="A86">
        <v>84</v>
      </c>
      <c r="B86">
        <f t="shared" si="1"/>
        <v>6</v>
      </c>
    </row>
    <row r="87" spans="1:2" x14ac:dyDescent="0.25">
      <c r="A87">
        <v>85</v>
      </c>
      <c r="B87">
        <f t="shared" si="1"/>
        <v>6.1</v>
      </c>
    </row>
    <row r="88" spans="1:2" x14ac:dyDescent="0.25">
      <c r="A88">
        <v>86</v>
      </c>
      <c r="B88">
        <f t="shared" si="1"/>
        <v>6.2</v>
      </c>
    </row>
    <row r="89" spans="1:2" x14ac:dyDescent="0.25">
      <c r="A89">
        <v>87</v>
      </c>
      <c r="B89">
        <f t="shared" si="1"/>
        <v>6.2</v>
      </c>
    </row>
    <row r="90" spans="1:2" x14ac:dyDescent="0.25">
      <c r="A90">
        <v>88</v>
      </c>
      <c r="B90">
        <f t="shared" si="1"/>
        <v>6.3</v>
      </c>
    </row>
    <row r="91" spans="1:2" x14ac:dyDescent="0.25">
      <c r="A91">
        <v>89</v>
      </c>
      <c r="B91">
        <f t="shared" si="1"/>
        <v>6.3</v>
      </c>
    </row>
    <row r="92" spans="1:2" x14ac:dyDescent="0.25">
      <c r="A92">
        <v>90</v>
      </c>
      <c r="B92">
        <f t="shared" si="1"/>
        <v>6.4</v>
      </c>
    </row>
    <row r="93" spans="1:2" x14ac:dyDescent="0.25">
      <c r="A93">
        <v>91</v>
      </c>
      <c r="B93">
        <f t="shared" si="1"/>
        <v>6.5</v>
      </c>
    </row>
    <row r="94" spans="1:2" x14ac:dyDescent="0.25">
      <c r="A94">
        <v>92</v>
      </c>
      <c r="B94">
        <f t="shared" si="1"/>
        <v>6.5</v>
      </c>
    </row>
    <row r="95" spans="1:2" x14ac:dyDescent="0.25">
      <c r="A95">
        <v>93</v>
      </c>
      <c r="B95">
        <f t="shared" si="1"/>
        <v>6.6</v>
      </c>
    </row>
    <row r="96" spans="1:2" x14ac:dyDescent="0.25">
      <c r="A96">
        <v>94</v>
      </c>
      <c r="B96">
        <f t="shared" si="1"/>
        <v>6.6</v>
      </c>
    </row>
    <row r="97" spans="1:2" x14ac:dyDescent="0.25">
      <c r="A97">
        <v>95</v>
      </c>
      <c r="B97">
        <f t="shared" si="1"/>
        <v>6.7</v>
      </c>
    </row>
    <row r="98" spans="1:2" x14ac:dyDescent="0.25">
      <c r="A98">
        <v>96</v>
      </c>
      <c r="B98">
        <f t="shared" si="1"/>
        <v>6.8</v>
      </c>
    </row>
    <row r="99" spans="1:2" x14ac:dyDescent="0.25">
      <c r="A99">
        <v>97</v>
      </c>
      <c r="B99">
        <f t="shared" si="1"/>
        <v>6.8</v>
      </c>
    </row>
    <row r="100" spans="1:2" x14ac:dyDescent="0.25">
      <c r="A100">
        <v>98</v>
      </c>
      <c r="B100">
        <f t="shared" si="1"/>
        <v>6.9</v>
      </c>
    </row>
    <row r="101" spans="1:2" x14ac:dyDescent="0.25">
      <c r="A101">
        <v>99</v>
      </c>
      <c r="B101">
        <f t="shared" si="1"/>
        <v>6.9</v>
      </c>
    </row>
    <row r="102" spans="1:2" x14ac:dyDescent="0.25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</vt:lpstr>
      <vt:lpstr>Hoja2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CARLOS ENRIQUE CASTRO MALDONADO</cp:lastModifiedBy>
  <cp:revision/>
  <dcterms:created xsi:type="dcterms:W3CDTF">2020-05-08T18:29:46Z</dcterms:created>
  <dcterms:modified xsi:type="dcterms:W3CDTF">2025-11-18T13:11:19Z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